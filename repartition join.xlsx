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<sst xmlns="http://schemas.openxmlformats.org/spreadsheetml/2006/main" count="329" uniqueCount="108">
  <si>
    <t>Node 0</t>
  </si>
  <si>
    <t>bucket_name</t>
  </si>
  <si>
    <t>classification</t>
  </si>
  <si>
    <t>total_ns</t>
  </si>
  <si>
    <t>pct_of_query_active_wall</t>
  </si>
  <si>
    <t>timers</t>
  </si>
  <si>
    <t>description</t>
  </si>
  <si>
    <t>note</t>
  </si>
  <si>
    <t>transport_protocol_cpu_ns</t>
  </si>
  <si>
    <t>additive_core</t>
  </si>
  <si>
    <t>PG_FE_SOCK_READ, PG_FE_SOCK_WRITE, PG_BE_SOCK_READ, PG_BE_SOCK_WRITE, PG_parseInput, PQ_getbyte, PQ_getmessage, PQ_getbytes, PQ_putmessage, PQ_sendCommand, PQ_putCopyData, PQ_putCopyEnd, PQ_getResult, PQ_getCopyData</t>
  </si>
  <si>
    <t>Strict additive transport/protocol execution leaves: socket IO, protocol framing, parse, and protocol message staging.</t>
  </si>
  <si>
    <t>row_serde_cpu_ns</t>
  </si>
  <si>
    <t>Printtup_Ser, RemoteFileDestReceiver_Ser, ReceiveResults_Deserialize</t>
  </si>
  <si>
    <t>Additive row serialization/deserialization leaves used by result send, intermediate-result push, and worker-result receive.</t>
  </si>
  <si>
    <t>result_materialization_cpu_ns</t>
  </si>
  <si>
    <t>additive_separate</t>
  </si>
  <si>
    <t>ReceiveResults_BuildTuples</t>
  </si>
  <si>
    <t>Separate result-materialization bucket for turning received rows into local heap tuples.</t>
  </si>
  <si>
    <t>Keep this separate from the strict communication core. ReceiveResults_HeapFormTuple is a nested debug child and is not added here.</t>
  </si>
  <si>
    <t>file_comm_io_ns</t>
  </si>
  <si>
    <t>SendViaCopy_FileRead, ReceiveAndWriteCopyData_WriteFile, FetchIntermediate_FileWrite, RemoteFileDestReceiver_SerAndSend_WriteLocal</t>
  </si>
  <si>
    <t>Separate file-backed communication bucket for intermediate-result file reads/writes and optional local persistence.</t>
  </si>
  <si>
    <t>optional_connection_setup_cpu_ns</t>
  </si>
  <si>
    <t>optional_additive</t>
  </si>
  <si>
    <t>PQ_connectStart</t>
  </si>
  <si>
    <t>Optional additive setup bucket for the synchronous front half of connection establishment.</t>
  </si>
  <si>
    <t>Keep separate unless connection setup should count toward the total.</t>
  </si>
  <si>
    <t>query_active_wall_ns</t>
  </si>
  <si>
    <t>denominator_primary</t>
  </si>
  <si>
    <t>QUERY_ACTIVE_WALL</t>
  </si>
  <si>
    <t>Primary active-execution wall denominator for the logical query cycle.</t>
  </si>
  <si>
    <t>QUERY_ACTIVE_WALL now spans the logical query cycle on this backend and is paused around PostgreSQL wait events plus FE-libpq socket waits. It includes the query-cycle tail up to the ReadyForQuery boundary, so this is the primary communication-stack denominator, not just executor-core time.</t>
  </si>
  <si>
    <t>query_wait_wall_ns</t>
  </si>
  <si>
    <t>optional_wait_debug</t>
  </si>
  <si>
    <t>QUERY_WAIT_WALL</t>
  </si>
  <si>
    <t>Optional/debug wait total excluded from QUERY_ACTIVE_WALL.</t>
  </si>
  <si>
    <t>QUERY_WAIT_WALL accumulates the waits excluded from QUERY_ACTIVE_WALL. It is an optional/debug bucket, not part of the communication-stack sum.</t>
  </si>
  <si>
    <t>coarse_ready_processing_debug_ns</t>
  </si>
  <si>
    <t>nonadditive_debug</t>
  </si>
  <si>
    <t>CheckConnectionReady_</t>
  </si>
  <si>
    <t>Coarse post-wakeup libpq processing region in adaptive executor.</t>
  </si>
  <si>
    <t>Overlaps PG_FE_* and PG_parseInput leaves.</t>
  </si>
  <si>
    <t>coarse_buffered_result_debug_ns</t>
  </si>
  <si>
    <t>ReceiveResults_Net</t>
  </si>
  <si>
    <t>Coarse buffered PQgetResult region in ReceiveResults().</t>
  </si>
  <si>
    <t>Overlaps the lower PQ_getResult leaf.</t>
  </si>
  <si>
    <t>coarse_worker_copy_receive_debug_ns</t>
  </si>
  <si>
    <t>ReceiveAndWriteCopyData_Deser</t>
  </si>
  <si>
    <t>Coarse worker COPY receive region while writing pushed results.</t>
  </si>
  <si>
    <t>Overlaps PQ_getbyte, PQ_getmessage, PQ_getbytes, and PG_BE_SOCK_READ.</t>
  </si>
  <si>
    <t>coarse_pull_copy_and_write_debug_ns</t>
  </si>
  <si>
    <t>FetchIntermediate_CopyAndWrite</t>
  </si>
  <si>
    <t>Coarse pull-side COPY receive/write region in fetch_intermediate_results().</t>
  </si>
  <si>
    <t>Overlaps PQ_getCopyData and FetchIntermediate_FileWrite.</t>
  </si>
  <si>
    <t>coarse_push_send_debug_ns</t>
  </si>
  <si>
    <t>RemoteFileDestReceiver_Send</t>
  </si>
  <si>
    <t>Coarse push-side send region for serialized intermediate-result rows.</t>
  </si>
  <si>
    <t>Overlaps PQ_putCopyData/PQ_putCopyEnd and lower PG_FE_* leaves.</t>
  </si>
  <si>
    <t>coarse_backend_row_send_debug_ns</t>
  </si>
  <si>
    <t>Printtup, Printtup_Net</t>
  </si>
  <si>
    <t>Coarse backend row-send parents for regular query results.</t>
  </si>
  <si>
    <t>Overlaps Printtup_Ser, PQ_putmessage, and PG_BE_SOCK_WRITE.</t>
  </si>
  <si>
    <t>coarse_connection_setup_debug_ns</t>
  </si>
  <si>
    <t>PQ_connectPoll</t>
  </si>
  <si>
    <t>Coarse connection-setup poll-loop region.</t>
  </si>
  <si>
    <t>Overlaps lower PG_FE_SOCK_READ/WRITE during connection establishment.</t>
  </si>
  <si>
    <t>query_exec_core_ns</t>
  </si>
  <si>
    <t>legacy_context</t>
  </si>
  <si>
    <t>ExecSimpleQuery</t>
  </si>
  <si>
    <t>Legacy coarse backend command-execution core timer.</t>
  </si>
  <si>
    <t>ExecSimpleQuery only covers the backend command-execution core. Keep this as legacy context when comparing against older runs, but do not use it as the primary communication percentage denominator anymore.</t>
  </si>
  <si>
    <t>distributed_tx_lifecycle_wall_ns</t>
  </si>
  <si>
    <t>XACT_PROCESSING</t>
  </si>
  <si>
    <t>Legacy distributed-transaction lifecycle wall timer.</t>
  </si>
  <si>
    <t>XACT_PROCESSING is a coordinated-transaction lifecycle wall timer. It is preserved across logger_reset while a distributed transaction is active, so it can include inter-statement gaps. Sum QUERY_ACTIVE_WALL across the transaction for an active-execution denominator instead.</t>
  </si>
  <si>
    <t>communication_stack_core_total_ns</t>
  </si>
  <si>
    <t>derived_total</t>
  </si>
  <si>
    <t>transport_protocol_cpu_ns + row_serde_cpu_ns</t>
  </si>
  <si>
    <t>Strict additive communication-stack total: transport/protocol plus row serialization/deserialization.</t>
  </si>
  <si>
    <t>Recommended primary additive communication-stack total.</t>
  </si>
  <si>
    <t>communication_stack_extended_total_ns</t>
  </si>
  <si>
    <t>communication_stack_core_total_ns + result_materialization_cpu_ns + file_comm_io_ns</t>
  </si>
  <si>
    <t>Extended additive total that also includes the separate result materialization and file-backed communication buckets.</t>
  </si>
  <si>
    <t>Useful when those loosely communication-related buckets should count toward the total.</t>
  </si>
  <si>
    <t>communication_stack_extended_with_optional_setup_total_ns</t>
  </si>
  <si>
    <t>communication_stack_extended_total_ns + optional_connection_setup_cpu_ns</t>
  </si>
  <si>
    <t>Extended additive total with the optional connection-setup bucket.</t>
  </si>
  <si>
    <t>Only use when connection setup should count toward the total.</t>
  </si>
  <si>
    <t>nonadditive_debug_total_ns</t>
  </si>
  <si>
    <t>coarse_ready_processing_debug_ns + coarse_buffered_result_debug_ns + coarse_worker_copy_receive_debug_ns + coarse_pull_copy_and_write_debug_ns + coarse_push_send_debug_ns + coarse_backend_row_send_debug_ns + coarse_connection_setup_debug_ns</t>
  </si>
  <si>
    <t>Sum of coarse/debug parent regions that overlap lower leaves.</t>
  </si>
  <si>
    <t>Do not add this into any additive communication-stack total.</t>
  </si>
  <si>
    <t>Node1</t>
  </si>
  <si>
    <t>Node2</t>
  </si>
  <si>
    <t>Perf</t>
  </si>
  <si>
    <t>node</t>
  </si>
  <si>
    <t>sampled_kernel_total_ns</t>
  </si>
  <si>
    <t>sampled_kernel_net_ns</t>
  </si>
  <si>
    <t>kernel_net_avg_cores</t>
  </si>
  <si>
    <t>kernel_net_pct_of_query_active_wall</t>
  </si>
  <si>
    <t>normalized kernel
CPU percentage</t>
  </si>
  <si>
    <t>normalized
network &amp; protocol</t>
  </si>
  <si>
    <t>normalized
backend ingestion</t>
  </si>
  <si>
    <t>rest of db backend</t>
  </si>
  <si>
    <t>node0</t>
  </si>
  <si>
    <t>node1</t>
  </si>
  <si>
    <t>node2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</si>
</sst>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23.88"/>
    <col customWidth="1" min="3" max="3" width="17.75"/>
    <col customWidth="1" min="4" max="5" width="10.75"/>
    <col customWidth="1" min="6" max="6" width="21.75"/>
    <col customWidth="1" min="7" max="7" width="24.88"/>
  </cols>
  <sheetData>
    <row r="4">
      <c r="A4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/>
      <c r="F5" s="2" t="s">
        <v>5</v>
      </c>
      <c r="G5" s="2" t="s">
        <v>6</v>
      </c>
      <c r="H5" s="2" t="s">
        <v>7</v>
      </c>
    </row>
    <row r="6">
      <c r="A6" s="3" t="s">
        <v>8</v>
      </c>
      <c r="B6" s="4" t="s">
        <v>9</v>
      </c>
      <c r="C6" s="4">
        <v>3.58365104E9</v>
      </c>
      <c r="D6" s="4">
        <v>3.550153</v>
      </c>
      <c r="E6" s="4"/>
      <c r="F6" s="4" t="s">
        <v>10</v>
      </c>
      <c r="G6" s="4" t="s">
        <v>11</v>
      </c>
      <c r="H6" s="5"/>
    </row>
    <row r="7">
      <c r="A7" s="3" t="s">
        <v>12</v>
      </c>
      <c r="B7" s="4" t="s">
        <v>9</v>
      </c>
      <c r="C7" s="4">
        <v>2.4723930399E10</v>
      </c>
      <c r="D7" s="4">
        <v>24.492823</v>
      </c>
      <c r="E7" s="4"/>
      <c r="F7" s="4" t="s">
        <v>13</v>
      </c>
      <c r="G7" s="4" t="s">
        <v>14</v>
      </c>
      <c r="H7" s="5"/>
    </row>
    <row r="8">
      <c r="A8" s="3" t="s">
        <v>15</v>
      </c>
      <c r="B8" s="4" t="s">
        <v>16</v>
      </c>
      <c r="C8" s="4">
        <v>1.6324808759E10</v>
      </c>
      <c r="D8" s="4">
        <v>16.172212</v>
      </c>
      <c r="E8" s="4"/>
      <c r="F8" s="4" t="s">
        <v>17</v>
      </c>
      <c r="G8" s="4" t="s">
        <v>18</v>
      </c>
      <c r="H8" s="4" t="s">
        <v>19</v>
      </c>
    </row>
    <row r="9">
      <c r="A9" s="3" t="s">
        <v>20</v>
      </c>
      <c r="B9" s="4" t="s">
        <v>16</v>
      </c>
      <c r="C9" s="4">
        <v>1.0070598341E10</v>
      </c>
      <c r="D9" s="4">
        <v>9.976463</v>
      </c>
      <c r="E9" s="4"/>
      <c r="F9" s="4" t="s">
        <v>21</v>
      </c>
      <c r="G9" s="4" t="s">
        <v>22</v>
      </c>
      <c r="H9" s="5"/>
    </row>
    <row r="10">
      <c r="A10" s="3" t="s">
        <v>23</v>
      </c>
      <c r="B10" s="4" t="s">
        <v>24</v>
      </c>
      <c r="C10" s="4">
        <v>2.5821453E7</v>
      </c>
      <c r="D10" s="4">
        <v>0.02558</v>
      </c>
      <c r="E10" s="4"/>
      <c r="F10" s="4" t="s">
        <v>25</v>
      </c>
      <c r="G10" s="4" t="s">
        <v>26</v>
      </c>
      <c r="H10" s="4" t="s">
        <v>27</v>
      </c>
    </row>
    <row r="11">
      <c r="A11" s="3" t="s">
        <v>28</v>
      </c>
      <c r="B11" s="4" t="s">
        <v>29</v>
      </c>
      <c r="C11" s="4">
        <v>1.00943571592E11</v>
      </c>
      <c r="D11" s="4">
        <v>100.0</v>
      </c>
      <c r="E11" s="4"/>
      <c r="F11" s="4" t="s">
        <v>30</v>
      </c>
      <c r="G11" s="4" t="s">
        <v>31</v>
      </c>
      <c r="H11" s="4" t="s">
        <v>32</v>
      </c>
    </row>
    <row r="12">
      <c r="A12" s="3" t="s">
        <v>33</v>
      </c>
      <c r="B12" s="4" t="s">
        <v>34</v>
      </c>
      <c r="C12" s="4">
        <v>1.19259626689E11</v>
      </c>
      <c r="D12" s="4">
        <v>118.144845</v>
      </c>
      <c r="E12" s="4"/>
      <c r="F12" s="4" t="s">
        <v>35</v>
      </c>
      <c r="G12" s="4" t="s">
        <v>36</v>
      </c>
      <c r="H12" s="4" t="s">
        <v>37</v>
      </c>
    </row>
    <row r="13">
      <c r="A13" s="3" t="s">
        <v>38</v>
      </c>
      <c r="B13" s="4" t="s">
        <v>39</v>
      </c>
      <c r="C13" s="4">
        <v>2.364695669E9</v>
      </c>
      <c r="D13" s="4">
        <v>2.342592</v>
      </c>
      <c r="E13" s="4"/>
      <c r="F13" s="4" t="s">
        <v>40</v>
      </c>
      <c r="G13" s="4" t="s">
        <v>41</v>
      </c>
      <c r="H13" s="4" t="s">
        <v>42</v>
      </c>
    </row>
    <row r="14">
      <c r="A14" s="3" t="s">
        <v>43</v>
      </c>
      <c r="B14" s="4" t="s">
        <v>39</v>
      </c>
      <c r="C14" s="4">
        <v>1.245880576E9</v>
      </c>
      <c r="D14" s="4">
        <v>1.234235</v>
      </c>
      <c r="E14" s="4"/>
      <c r="F14" s="4" t="s">
        <v>44</v>
      </c>
      <c r="G14" s="4" t="s">
        <v>45</v>
      </c>
      <c r="H14" s="4" t="s">
        <v>46</v>
      </c>
    </row>
    <row r="15">
      <c r="A15" s="3" t="s">
        <v>47</v>
      </c>
      <c r="B15" s="4" t="s">
        <v>39</v>
      </c>
      <c r="C15" s="4">
        <v>0.0</v>
      </c>
      <c r="D15" s="4">
        <v>0.0</v>
      </c>
      <c r="E15" s="4"/>
      <c r="F15" s="4" t="s">
        <v>48</v>
      </c>
      <c r="G15" s="4" t="s">
        <v>49</v>
      </c>
      <c r="H15" s="4" t="s">
        <v>50</v>
      </c>
    </row>
    <row r="16">
      <c r="A16" s="3" t="s">
        <v>51</v>
      </c>
      <c r="B16" s="4" t="s">
        <v>39</v>
      </c>
      <c r="C16" s="4">
        <v>1.2928981482E10</v>
      </c>
      <c r="D16" s="4">
        <v>12.808128</v>
      </c>
      <c r="E16" s="4"/>
      <c r="F16" s="4" t="s">
        <v>52</v>
      </c>
      <c r="G16" s="4" t="s">
        <v>53</v>
      </c>
      <c r="H16" s="4" t="s">
        <v>54</v>
      </c>
    </row>
    <row r="17">
      <c r="A17" s="3" t="s">
        <v>55</v>
      </c>
      <c r="B17" s="4" t="s">
        <v>39</v>
      </c>
      <c r="C17" s="4">
        <v>0.0</v>
      </c>
      <c r="D17" s="4">
        <v>0.0</v>
      </c>
      <c r="E17" s="4"/>
      <c r="F17" s="4" t="s">
        <v>56</v>
      </c>
      <c r="G17" s="4" t="s">
        <v>57</v>
      </c>
      <c r="H17" s="4" t="s">
        <v>58</v>
      </c>
    </row>
    <row r="18">
      <c r="A18" s="3" t="s">
        <v>59</v>
      </c>
      <c r="B18" s="4" t="s">
        <v>39</v>
      </c>
      <c r="C18" s="4">
        <v>2.07967199033E11</v>
      </c>
      <c r="D18" s="4">
        <v>206.023222</v>
      </c>
      <c r="E18" s="4"/>
      <c r="F18" s="4" t="s">
        <v>60</v>
      </c>
      <c r="G18" s="4" t="s">
        <v>61</v>
      </c>
      <c r="H18" s="4" t="s">
        <v>62</v>
      </c>
    </row>
    <row r="19">
      <c r="A19" s="3" t="s">
        <v>63</v>
      </c>
      <c r="B19" s="4" t="s">
        <v>39</v>
      </c>
      <c r="C19" s="4">
        <v>9.25848618E8</v>
      </c>
      <c r="D19" s="4">
        <v>0.917194</v>
      </c>
      <c r="E19" s="4"/>
      <c r="F19" s="4" t="s">
        <v>64</v>
      </c>
      <c r="G19" s="4" t="s">
        <v>65</v>
      </c>
      <c r="H19" s="4" t="s">
        <v>66</v>
      </c>
    </row>
    <row r="20">
      <c r="A20" s="3" t="s">
        <v>67</v>
      </c>
      <c r="B20" s="4" t="s">
        <v>68</v>
      </c>
      <c r="C20" s="4">
        <v>2.20333968366E11</v>
      </c>
      <c r="D20" s="4">
        <v>218.274393</v>
      </c>
      <c r="E20" s="4"/>
      <c r="F20" s="4" t="s">
        <v>69</v>
      </c>
      <c r="G20" s="4" t="s">
        <v>70</v>
      </c>
      <c r="H20" s="4" t="s">
        <v>71</v>
      </c>
    </row>
    <row r="21">
      <c r="A21" s="3" t="s">
        <v>72</v>
      </c>
      <c r="B21" s="4" t="s">
        <v>68</v>
      </c>
      <c r="C21" s="4">
        <v>0.0</v>
      </c>
      <c r="D21" s="4">
        <v>0.0</v>
      </c>
      <c r="E21" s="4"/>
      <c r="F21" s="4" t="s">
        <v>73</v>
      </c>
      <c r="G21" s="4" t="s">
        <v>74</v>
      </c>
      <c r="H21" s="4" t="s">
        <v>75</v>
      </c>
    </row>
    <row r="22">
      <c r="A22" s="3" t="s">
        <v>76</v>
      </c>
      <c r="B22" s="4" t="s">
        <v>77</v>
      </c>
      <c r="C22" s="4">
        <v>2.8307581439E10</v>
      </c>
      <c r="D22" s="4">
        <v>28.042976</v>
      </c>
      <c r="E22" s="4">
        <f>D22/(1+F76)</f>
        <v>26.00161037</v>
      </c>
      <c r="F22" s="4" t="s">
        <v>78</v>
      </c>
      <c r="G22" s="4" t="s">
        <v>79</v>
      </c>
      <c r="H22" s="4" t="s">
        <v>80</v>
      </c>
    </row>
    <row r="23">
      <c r="A23" s="3" t="s">
        <v>81</v>
      </c>
      <c r="B23" s="4" t="s">
        <v>77</v>
      </c>
      <c r="C23" s="4">
        <v>5.4702988539E10</v>
      </c>
      <c r="D23" s="4">
        <v>54.191652</v>
      </c>
      <c r="E23" s="4">
        <f>D23/(1+F76)</f>
        <v>50.24681477</v>
      </c>
      <c r="F23" s="4" t="s">
        <v>82</v>
      </c>
      <c r="G23" s="4" t="s">
        <v>83</v>
      </c>
      <c r="H23" s="4" t="s">
        <v>84</v>
      </c>
    </row>
    <row r="24">
      <c r="A24" s="3" t="s">
        <v>85</v>
      </c>
      <c r="B24" s="4" t="s">
        <v>77</v>
      </c>
      <c r="C24" s="4">
        <v>5.4728809992E10</v>
      </c>
      <c r="D24" s="4">
        <v>54.217232</v>
      </c>
      <c r="E24" s="4">
        <f>D24/(1+F76)</f>
        <v>50.27053269</v>
      </c>
      <c r="F24" s="4" t="s">
        <v>86</v>
      </c>
      <c r="G24" s="4" t="s">
        <v>87</v>
      </c>
      <c r="H24" s="4" t="s">
        <v>88</v>
      </c>
    </row>
    <row r="25">
      <c r="A25" s="3" t="s">
        <v>89</v>
      </c>
      <c r="B25" s="4" t="s">
        <v>77</v>
      </c>
      <c r="C25" s="4">
        <v>2.25432605378E11</v>
      </c>
      <c r="D25" s="4">
        <v>223.325371</v>
      </c>
      <c r="E25" s="4">
        <f>D25/(1+F76)</f>
        <v>207.0685823</v>
      </c>
      <c r="F25" s="4" t="s">
        <v>90</v>
      </c>
      <c r="G25" s="4" t="s">
        <v>91</v>
      </c>
      <c r="H25" s="4" t="s">
        <v>92</v>
      </c>
    </row>
    <row r="27">
      <c r="A27" s="1" t="s">
        <v>93</v>
      </c>
    </row>
    <row r="28">
      <c r="A28" s="2" t="s">
        <v>1</v>
      </c>
      <c r="B28" s="2" t="s">
        <v>2</v>
      </c>
      <c r="C28" s="2" t="s">
        <v>3</v>
      </c>
      <c r="D28" s="2" t="s">
        <v>4</v>
      </c>
      <c r="E28" s="2"/>
      <c r="F28" s="2" t="s">
        <v>5</v>
      </c>
      <c r="G28" s="2" t="s">
        <v>6</v>
      </c>
      <c r="H28" s="2" t="s">
        <v>7</v>
      </c>
    </row>
    <row r="29">
      <c r="A29" s="3" t="s">
        <v>8</v>
      </c>
      <c r="B29" s="4" t="s">
        <v>9</v>
      </c>
      <c r="C29" s="4">
        <v>1.0824037541E10</v>
      </c>
      <c r="D29" s="4">
        <v>10.446778</v>
      </c>
      <c r="E29" s="4"/>
      <c r="F29" s="4" t="s">
        <v>10</v>
      </c>
      <c r="G29" s="4" t="s">
        <v>11</v>
      </c>
      <c r="H29" s="5"/>
    </row>
    <row r="30">
      <c r="A30" s="3" t="s">
        <v>12</v>
      </c>
      <c r="B30" s="4" t="s">
        <v>9</v>
      </c>
      <c r="C30" s="4">
        <v>1.2329490828E10</v>
      </c>
      <c r="D30" s="4">
        <v>11.89976</v>
      </c>
      <c r="E30" s="4"/>
      <c r="F30" s="4" t="s">
        <v>13</v>
      </c>
      <c r="G30" s="4" t="s">
        <v>14</v>
      </c>
      <c r="H30" s="5"/>
    </row>
    <row r="31">
      <c r="A31" s="3" t="s">
        <v>15</v>
      </c>
      <c r="B31" s="4" t="s">
        <v>16</v>
      </c>
      <c r="C31" s="4">
        <v>0.0</v>
      </c>
      <c r="D31" s="4">
        <v>0.0</v>
      </c>
      <c r="E31" s="4"/>
      <c r="F31" s="4" t="s">
        <v>17</v>
      </c>
      <c r="G31" s="4" t="s">
        <v>18</v>
      </c>
      <c r="H31" s="4" t="s">
        <v>19</v>
      </c>
    </row>
    <row r="32">
      <c r="A32" s="3" t="s">
        <v>20</v>
      </c>
      <c r="B32" s="4" t="s">
        <v>16</v>
      </c>
      <c r="C32" s="4">
        <v>4.002373362E9</v>
      </c>
      <c r="D32" s="4">
        <v>3.862875</v>
      </c>
      <c r="E32" s="4"/>
      <c r="F32" s="4" t="s">
        <v>21</v>
      </c>
      <c r="G32" s="4" t="s">
        <v>22</v>
      </c>
      <c r="H32" s="5"/>
    </row>
    <row r="33">
      <c r="A33" s="3" t="s">
        <v>23</v>
      </c>
      <c r="B33" s="4" t="s">
        <v>24</v>
      </c>
      <c r="C33" s="4">
        <v>3.3173012E7</v>
      </c>
      <c r="D33" s="4">
        <v>0.032017</v>
      </c>
      <c r="E33" s="4"/>
      <c r="F33" s="4" t="s">
        <v>25</v>
      </c>
      <c r="G33" s="4" t="s">
        <v>26</v>
      </c>
      <c r="H33" s="4" t="s">
        <v>27</v>
      </c>
    </row>
    <row r="34">
      <c r="A34" s="3" t="s">
        <v>28</v>
      </c>
      <c r="B34" s="4" t="s">
        <v>29</v>
      </c>
      <c r="C34" s="4">
        <v>1.03611254621E11</v>
      </c>
      <c r="D34" s="4">
        <v>100.0</v>
      </c>
      <c r="E34" s="4"/>
      <c r="F34" s="4" t="s">
        <v>30</v>
      </c>
      <c r="G34" s="4" t="s">
        <v>31</v>
      </c>
      <c r="H34" s="4" t="s">
        <v>32</v>
      </c>
    </row>
    <row r="35">
      <c r="A35" s="3" t="s">
        <v>33</v>
      </c>
      <c r="B35" s="4" t="s">
        <v>34</v>
      </c>
      <c r="C35" s="4">
        <v>1.13053794493E11</v>
      </c>
      <c r="D35" s="4">
        <v>109.113431</v>
      </c>
      <c r="E35" s="4"/>
      <c r="F35" s="4" t="s">
        <v>35</v>
      </c>
      <c r="G35" s="4" t="s">
        <v>36</v>
      </c>
      <c r="H35" s="4" t="s">
        <v>37</v>
      </c>
    </row>
    <row r="36">
      <c r="A36" s="3" t="s">
        <v>38</v>
      </c>
      <c r="B36" s="4" t="s">
        <v>39</v>
      </c>
      <c r="C36" s="4">
        <v>0.0</v>
      </c>
      <c r="D36" s="4">
        <v>0.0</v>
      </c>
      <c r="E36" s="4"/>
      <c r="F36" s="4" t="s">
        <v>40</v>
      </c>
      <c r="G36" s="4" t="s">
        <v>41</v>
      </c>
      <c r="H36" s="4" t="s">
        <v>42</v>
      </c>
    </row>
    <row r="37">
      <c r="A37" s="3" t="s">
        <v>43</v>
      </c>
      <c r="B37" s="4" t="s">
        <v>39</v>
      </c>
      <c r="C37" s="4">
        <v>36652.0</v>
      </c>
      <c r="D37" s="4">
        <v>3.5E-5</v>
      </c>
      <c r="E37" s="4"/>
      <c r="F37" s="4" t="s">
        <v>44</v>
      </c>
      <c r="G37" s="4" t="s">
        <v>45</v>
      </c>
      <c r="H37" s="4" t="s">
        <v>46</v>
      </c>
    </row>
    <row r="38">
      <c r="A38" s="3" t="s">
        <v>47</v>
      </c>
      <c r="B38" s="4" t="s">
        <v>39</v>
      </c>
      <c r="C38" s="4">
        <v>0.0</v>
      </c>
      <c r="D38" s="4">
        <v>0.0</v>
      </c>
      <c r="E38" s="4"/>
      <c r="F38" s="4" t="s">
        <v>48</v>
      </c>
      <c r="G38" s="4" t="s">
        <v>49</v>
      </c>
      <c r="H38" s="4" t="s">
        <v>50</v>
      </c>
    </row>
    <row r="39">
      <c r="A39" s="3" t="s">
        <v>51</v>
      </c>
      <c r="B39" s="4" t="s">
        <v>39</v>
      </c>
      <c r="C39" s="4">
        <v>7.007411539E9</v>
      </c>
      <c r="D39" s="4">
        <v>6.763176</v>
      </c>
      <c r="E39" s="4"/>
      <c r="F39" s="4" t="s">
        <v>52</v>
      </c>
      <c r="G39" s="4" t="s">
        <v>53</v>
      </c>
      <c r="H39" s="4" t="s">
        <v>54</v>
      </c>
    </row>
    <row r="40">
      <c r="A40" s="3" t="s">
        <v>55</v>
      </c>
      <c r="B40" s="4" t="s">
        <v>39</v>
      </c>
      <c r="C40" s="4">
        <v>0.0</v>
      </c>
      <c r="D40" s="4">
        <v>0.0</v>
      </c>
      <c r="E40" s="4"/>
      <c r="F40" s="4" t="s">
        <v>56</v>
      </c>
      <c r="G40" s="4" t="s">
        <v>57</v>
      </c>
      <c r="H40" s="4" t="s">
        <v>58</v>
      </c>
    </row>
    <row r="41">
      <c r="A41" s="3" t="s">
        <v>59</v>
      </c>
      <c r="B41" s="4" t="s">
        <v>39</v>
      </c>
      <c r="C41" s="4">
        <v>1.94821163322E11</v>
      </c>
      <c r="D41" s="4">
        <v>188.030889</v>
      </c>
      <c r="E41" s="4"/>
      <c r="F41" s="4" t="s">
        <v>60</v>
      </c>
      <c r="G41" s="4" t="s">
        <v>61</v>
      </c>
      <c r="H41" s="4" t="s">
        <v>62</v>
      </c>
    </row>
    <row r="42">
      <c r="A42" s="3" t="s">
        <v>63</v>
      </c>
      <c r="B42" s="4" t="s">
        <v>39</v>
      </c>
      <c r="C42" s="4">
        <v>9.88629267E8</v>
      </c>
      <c r="D42" s="4">
        <v>0.954172</v>
      </c>
      <c r="E42" s="4"/>
      <c r="F42" s="4" t="s">
        <v>64</v>
      </c>
      <c r="G42" s="4" t="s">
        <v>65</v>
      </c>
      <c r="H42" s="4" t="s">
        <v>66</v>
      </c>
    </row>
    <row r="43">
      <c r="A43" s="3" t="s">
        <v>67</v>
      </c>
      <c r="B43" s="4" t="s">
        <v>68</v>
      </c>
      <c r="C43" s="4">
        <v>2.16682298592E11</v>
      </c>
      <c r="D43" s="4">
        <v>209.130079</v>
      </c>
      <c r="E43" s="4"/>
      <c r="F43" s="4" t="s">
        <v>69</v>
      </c>
      <c r="G43" s="4" t="s">
        <v>70</v>
      </c>
      <c r="H43" s="4" t="s">
        <v>71</v>
      </c>
    </row>
    <row r="44">
      <c r="A44" s="3" t="s">
        <v>72</v>
      </c>
      <c r="B44" s="4" t="s">
        <v>68</v>
      </c>
      <c r="C44" s="4">
        <v>0.0</v>
      </c>
      <c r="D44" s="4">
        <v>0.0</v>
      </c>
      <c r="E44" s="4"/>
      <c r="F44" s="4" t="s">
        <v>73</v>
      </c>
      <c r="G44" s="4" t="s">
        <v>74</v>
      </c>
      <c r="H44" s="4" t="s">
        <v>75</v>
      </c>
    </row>
    <row r="45">
      <c r="A45" s="3" t="s">
        <v>76</v>
      </c>
      <c r="B45" s="4" t="s">
        <v>77</v>
      </c>
      <c r="C45" s="4">
        <v>2.3153528369E10</v>
      </c>
      <c r="D45" s="4">
        <v>22.346538</v>
      </c>
      <c r="E45" s="4">
        <f>D45/(1+F77)</f>
        <v>20.85504172</v>
      </c>
      <c r="F45" s="4" t="s">
        <v>78</v>
      </c>
      <c r="G45" s="4" t="s">
        <v>79</v>
      </c>
      <c r="H45" s="4" t="s">
        <v>80</v>
      </c>
    </row>
    <row r="46">
      <c r="A46" s="3" t="s">
        <v>81</v>
      </c>
      <c r="B46" s="4" t="s">
        <v>77</v>
      </c>
      <c r="C46" s="4">
        <v>2.7155901731E10</v>
      </c>
      <c r="D46" s="4">
        <v>26.209413</v>
      </c>
      <c r="E46" s="4">
        <f>D46/(1+F77)</f>
        <v>24.46009318</v>
      </c>
      <c r="F46" s="4" t="s">
        <v>82</v>
      </c>
      <c r="G46" s="4" t="s">
        <v>83</v>
      </c>
      <c r="H46" s="4" t="s">
        <v>84</v>
      </c>
    </row>
    <row r="47">
      <c r="A47" s="3" t="s">
        <v>85</v>
      </c>
      <c r="B47" s="4" t="s">
        <v>77</v>
      </c>
      <c r="C47" s="4">
        <v>2.7189074743E10</v>
      </c>
      <c r="D47" s="4">
        <v>26.24143</v>
      </c>
      <c r="E47" s="4">
        <f>D47/(1+F77)</f>
        <v>24.48997324</v>
      </c>
      <c r="F47" s="4" t="s">
        <v>86</v>
      </c>
      <c r="G47" s="4" t="s">
        <v>87</v>
      </c>
      <c r="H47" s="4" t="s">
        <v>88</v>
      </c>
    </row>
    <row r="48">
      <c r="A48" s="3" t="s">
        <v>89</v>
      </c>
      <c r="B48" s="4" t="s">
        <v>77</v>
      </c>
      <c r="C48" s="4">
        <v>2.0281724078E11</v>
      </c>
      <c r="D48" s="4">
        <v>195.748272</v>
      </c>
      <c r="E48" s="4">
        <f>D48/(1+F77)</f>
        <v>182.6832586</v>
      </c>
      <c r="F48" s="4" t="s">
        <v>90</v>
      </c>
      <c r="G48" s="4" t="s">
        <v>91</v>
      </c>
      <c r="H48" s="4" t="s">
        <v>92</v>
      </c>
    </row>
    <row r="50">
      <c r="A50" s="1" t="s">
        <v>94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/>
      <c r="F51" s="2" t="s">
        <v>5</v>
      </c>
      <c r="G51" s="2" t="s">
        <v>6</v>
      </c>
      <c r="H51" s="2" t="s">
        <v>7</v>
      </c>
    </row>
    <row r="52">
      <c r="A52" s="3" t="s">
        <v>8</v>
      </c>
      <c r="B52" s="4" t="s">
        <v>9</v>
      </c>
      <c r="C52" s="4">
        <v>1.0726145593E10</v>
      </c>
      <c r="D52" s="4">
        <v>10.43325</v>
      </c>
      <c r="E52" s="4"/>
      <c r="F52" s="4" t="s">
        <v>10</v>
      </c>
      <c r="G52" s="4" t="s">
        <v>11</v>
      </c>
      <c r="H52" s="5"/>
    </row>
    <row r="53">
      <c r="A53" s="3" t="s">
        <v>12</v>
      </c>
      <c r="B53" s="4" t="s">
        <v>9</v>
      </c>
      <c r="C53" s="4">
        <v>1.2344122706E10</v>
      </c>
      <c r="D53" s="4">
        <v>12.007046</v>
      </c>
      <c r="E53" s="4"/>
      <c r="F53" s="4" t="s">
        <v>13</v>
      </c>
      <c r="G53" s="4" t="s">
        <v>14</v>
      </c>
      <c r="H53" s="5"/>
    </row>
    <row r="54">
      <c r="A54" s="3" t="s">
        <v>15</v>
      </c>
      <c r="B54" s="4" t="s">
        <v>16</v>
      </c>
      <c r="C54" s="4">
        <v>0.0</v>
      </c>
      <c r="D54" s="4">
        <v>0.0</v>
      </c>
      <c r="E54" s="4"/>
      <c r="F54" s="4" t="s">
        <v>17</v>
      </c>
      <c r="G54" s="4" t="s">
        <v>18</v>
      </c>
      <c r="H54" s="4" t="s">
        <v>19</v>
      </c>
    </row>
    <row r="55">
      <c r="A55" s="3" t="s">
        <v>20</v>
      </c>
      <c r="B55" s="4" t="s">
        <v>16</v>
      </c>
      <c r="C55" s="4">
        <v>4.12519108E9</v>
      </c>
      <c r="D55" s="4">
        <v>4.012546</v>
      </c>
      <c r="E55" s="4"/>
      <c r="F55" s="4" t="s">
        <v>21</v>
      </c>
      <c r="G55" s="4" t="s">
        <v>22</v>
      </c>
      <c r="H55" s="5"/>
    </row>
    <row r="56">
      <c r="A56" s="3" t="s">
        <v>23</v>
      </c>
      <c r="B56" s="4" t="s">
        <v>24</v>
      </c>
      <c r="C56" s="4">
        <v>3.3938736E7</v>
      </c>
      <c r="D56" s="4">
        <v>0.033012</v>
      </c>
      <c r="E56" s="4"/>
      <c r="F56" s="4" t="s">
        <v>25</v>
      </c>
      <c r="G56" s="4" t="s">
        <v>26</v>
      </c>
      <c r="H56" s="4" t="s">
        <v>27</v>
      </c>
    </row>
    <row r="57">
      <c r="A57" s="3" t="s">
        <v>28</v>
      </c>
      <c r="B57" s="4" t="s">
        <v>29</v>
      </c>
      <c r="C57" s="4">
        <v>1.02807324045E11</v>
      </c>
      <c r="D57" s="4">
        <v>100.0</v>
      </c>
      <c r="E57" s="4"/>
      <c r="F57" s="4" t="s">
        <v>30</v>
      </c>
      <c r="G57" s="4" t="s">
        <v>31</v>
      </c>
      <c r="H57" s="4" t="s">
        <v>32</v>
      </c>
    </row>
    <row r="58">
      <c r="A58" s="3" t="s">
        <v>33</v>
      </c>
      <c r="B58" s="4" t="s">
        <v>34</v>
      </c>
      <c r="C58" s="4">
        <v>1.13013909413E11</v>
      </c>
      <c r="D58" s="4">
        <v>109.927878</v>
      </c>
      <c r="E58" s="4"/>
      <c r="F58" s="4" t="s">
        <v>35</v>
      </c>
      <c r="G58" s="4" t="s">
        <v>36</v>
      </c>
      <c r="H58" s="4" t="s">
        <v>37</v>
      </c>
    </row>
    <row r="59">
      <c r="A59" s="3" t="s">
        <v>38</v>
      </c>
      <c r="B59" s="4" t="s">
        <v>39</v>
      </c>
      <c r="C59" s="4">
        <v>0.0</v>
      </c>
      <c r="D59" s="4">
        <v>0.0</v>
      </c>
      <c r="E59" s="4"/>
      <c r="F59" s="4" t="s">
        <v>40</v>
      </c>
      <c r="G59" s="4" t="s">
        <v>41</v>
      </c>
      <c r="H59" s="4" t="s">
        <v>42</v>
      </c>
    </row>
    <row r="60">
      <c r="A60" s="3" t="s">
        <v>43</v>
      </c>
      <c r="B60" s="4" t="s">
        <v>39</v>
      </c>
      <c r="C60" s="4">
        <v>34774.0</v>
      </c>
      <c r="D60" s="4">
        <v>3.4E-5</v>
      </c>
      <c r="E60" s="4"/>
      <c r="F60" s="4" t="s">
        <v>44</v>
      </c>
      <c r="G60" s="4" t="s">
        <v>45</v>
      </c>
      <c r="H60" s="4" t="s">
        <v>46</v>
      </c>
    </row>
    <row r="61">
      <c r="A61" s="3" t="s">
        <v>47</v>
      </c>
      <c r="B61" s="4" t="s">
        <v>39</v>
      </c>
      <c r="C61" s="4">
        <v>0.0</v>
      </c>
      <c r="D61" s="4">
        <v>0.0</v>
      </c>
      <c r="E61" s="4"/>
      <c r="F61" s="4" t="s">
        <v>48</v>
      </c>
      <c r="G61" s="4" t="s">
        <v>49</v>
      </c>
      <c r="H61" s="4" t="s">
        <v>50</v>
      </c>
    </row>
    <row r="62">
      <c r="A62" s="3" t="s">
        <v>51</v>
      </c>
      <c r="B62" s="4" t="s">
        <v>39</v>
      </c>
      <c r="C62" s="4">
        <v>7.162363751E9</v>
      </c>
      <c r="D62" s="4">
        <v>6.966784</v>
      </c>
      <c r="E62" s="4"/>
      <c r="F62" s="4" t="s">
        <v>52</v>
      </c>
      <c r="G62" s="4" t="s">
        <v>53</v>
      </c>
      <c r="H62" s="4" t="s">
        <v>54</v>
      </c>
    </row>
    <row r="63">
      <c r="A63" s="3" t="s">
        <v>55</v>
      </c>
      <c r="B63" s="4" t="s">
        <v>39</v>
      </c>
      <c r="C63" s="4">
        <v>0.0</v>
      </c>
      <c r="D63" s="4">
        <v>0.0</v>
      </c>
      <c r="E63" s="4"/>
      <c r="F63" s="4" t="s">
        <v>56</v>
      </c>
      <c r="G63" s="4" t="s">
        <v>57</v>
      </c>
      <c r="H63" s="4" t="s">
        <v>58</v>
      </c>
    </row>
    <row r="64">
      <c r="A64" s="3" t="s">
        <v>59</v>
      </c>
      <c r="B64" s="4" t="s">
        <v>39</v>
      </c>
      <c r="C64" s="4">
        <v>1.94681457177E11</v>
      </c>
      <c r="D64" s="4">
        <v>189.365358</v>
      </c>
      <c r="E64" s="4"/>
      <c r="F64" s="4" t="s">
        <v>60</v>
      </c>
      <c r="G64" s="4" t="s">
        <v>61</v>
      </c>
      <c r="H64" s="4" t="s">
        <v>62</v>
      </c>
    </row>
    <row r="65">
      <c r="A65" s="3" t="s">
        <v>63</v>
      </c>
      <c r="B65" s="4" t="s">
        <v>39</v>
      </c>
      <c r="C65" s="4">
        <v>1.036626405E9</v>
      </c>
      <c r="D65" s="4">
        <v>1.00832</v>
      </c>
      <c r="E65" s="4"/>
      <c r="F65" s="4" t="s">
        <v>64</v>
      </c>
      <c r="G65" s="4" t="s">
        <v>65</v>
      </c>
      <c r="H65" s="4" t="s">
        <v>66</v>
      </c>
    </row>
    <row r="66">
      <c r="A66" s="3" t="s">
        <v>67</v>
      </c>
      <c r="B66" s="4" t="s">
        <v>68</v>
      </c>
      <c r="C66" s="4">
        <v>2.15854205138E11</v>
      </c>
      <c r="D66" s="4">
        <v>209.959949</v>
      </c>
      <c r="E66" s="4"/>
      <c r="F66" s="4" t="s">
        <v>69</v>
      </c>
      <c r="G66" s="4" t="s">
        <v>70</v>
      </c>
      <c r="H66" s="4" t="s">
        <v>71</v>
      </c>
    </row>
    <row r="67">
      <c r="A67" s="3" t="s">
        <v>72</v>
      </c>
      <c r="B67" s="4" t="s">
        <v>68</v>
      </c>
      <c r="C67" s="4">
        <v>0.0</v>
      </c>
      <c r="D67" s="4">
        <v>0.0</v>
      </c>
      <c r="E67" s="4"/>
      <c r="F67" s="4" t="s">
        <v>73</v>
      </c>
      <c r="G67" s="4" t="s">
        <v>74</v>
      </c>
      <c r="H67" s="4" t="s">
        <v>75</v>
      </c>
    </row>
    <row r="68">
      <c r="A68" s="3" t="s">
        <v>76</v>
      </c>
      <c r="B68" s="4" t="s">
        <v>77</v>
      </c>
      <c r="C68" s="4">
        <v>2.3070268299E10</v>
      </c>
      <c r="D68" s="4">
        <v>22.440296</v>
      </c>
      <c r="E68" s="4">
        <f>D68/(1+F101)</f>
        <v>22.440296</v>
      </c>
      <c r="F68" s="4" t="s">
        <v>78</v>
      </c>
      <c r="G68" s="4" t="s">
        <v>79</v>
      </c>
      <c r="H68" s="4" t="s">
        <v>80</v>
      </c>
    </row>
    <row r="69">
      <c r="A69" s="3" t="s">
        <v>81</v>
      </c>
      <c r="B69" s="4" t="s">
        <v>77</v>
      </c>
      <c r="C69" s="4">
        <v>2.7195459379E10</v>
      </c>
      <c r="D69" s="4">
        <v>26.452842</v>
      </c>
      <c r="E69" s="4">
        <f>D69/(1+F101)</f>
        <v>26.452842</v>
      </c>
      <c r="F69" s="4" t="s">
        <v>82</v>
      </c>
      <c r="G69" s="4" t="s">
        <v>83</v>
      </c>
      <c r="H69" s="4" t="s">
        <v>84</v>
      </c>
    </row>
    <row r="70">
      <c r="A70" s="3" t="s">
        <v>85</v>
      </c>
      <c r="B70" s="4" t="s">
        <v>77</v>
      </c>
      <c r="C70" s="4">
        <v>2.7229398115E10</v>
      </c>
      <c r="D70" s="4">
        <v>26.485854</v>
      </c>
      <c r="E70" s="4">
        <f>D70/(1+F101)</f>
        <v>26.485854</v>
      </c>
      <c r="F70" s="4" t="s">
        <v>86</v>
      </c>
      <c r="G70" s="4" t="s">
        <v>87</v>
      </c>
      <c r="H70" s="4" t="s">
        <v>88</v>
      </c>
    </row>
    <row r="71">
      <c r="A71" s="3" t="s">
        <v>89</v>
      </c>
      <c r="B71" s="4" t="s">
        <v>77</v>
      </c>
      <c r="C71" s="4">
        <v>2.02880482107E11</v>
      </c>
      <c r="D71" s="4">
        <v>197.340495</v>
      </c>
      <c r="E71" s="4">
        <f>D71/(1+F101)</f>
        <v>197.340495</v>
      </c>
      <c r="F71" s="4" t="s">
        <v>90</v>
      </c>
      <c r="G71" s="4" t="s">
        <v>91</v>
      </c>
      <c r="H71" s="4" t="s">
        <v>92</v>
      </c>
    </row>
    <row r="74">
      <c r="A74" s="1" t="s">
        <v>95</v>
      </c>
    </row>
    <row r="75">
      <c r="A75" s="1" t="s">
        <v>96</v>
      </c>
      <c r="B75" s="1" t="s">
        <v>97</v>
      </c>
      <c r="C75" s="1" t="s">
        <v>98</v>
      </c>
      <c r="D75" s="1" t="s">
        <v>28</v>
      </c>
      <c r="E75" s="1"/>
      <c r="F75" s="1" t="s">
        <v>99</v>
      </c>
      <c r="G75" s="1" t="s">
        <v>100</v>
      </c>
      <c r="I75" s="6" t="s">
        <v>101</v>
      </c>
      <c r="J75" s="6" t="s">
        <v>102</v>
      </c>
      <c r="K75" s="6" t="s">
        <v>103</v>
      </c>
      <c r="L75" s="6" t="s">
        <v>104</v>
      </c>
    </row>
    <row r="76">
      <c r="A76" s="7" t="s">
        <v>105</v>
      </c>
      <c r="B76" s="7">
        <v>2.168715E12</v>
      </c>
      <c r="C76" s="7">
        <v>7.925E9</v>
      </c>
      <c r="D76" s="7">
        <v>1.00943571592E11</v>
      </c>
      <c r="E76" s="7"/>
      <c r="F76" s="7">
        <v>0.0785092</v>
      </c>
      <c r="G76" s="7">
        <v>7.8509</v>
      </c>
      <c r="I76" s="8">
        <f t="shared" ref="I76:I78" si="1">G76/(1+F76)</f>
        <v>7.27940012</v>
      </c>
      <c r="J76" s="8">
        <f>E22</f>
        <v>26.00161037</v>
      </c>
      <c r="K76" s="8">
        <f>E23-E22</f>
        <v>24.2452044</v>
      </c>
      <c r="L76" s="8">
        <f t="shared" ref="L76:L78" si="2">100-(K76+J76+I76)</f>
        <v>42.47378511</v>
      </c>
    </row>
    <row r="77">
      <c r="A77" s="7" t="s">
        <v>106</v>
      </c>
      <c r="B77" s="7">
        <v>1.773965E12</v>
      </c>
      <c r="C77" s="7">
        <v>7.41E9</v>
      </c>
      <c r="D77" s="7">
        <v>1.03611254621E11</v>
      </c>
      <c r="E77" s="7"/>
      <c r="F77" s="7">
        <v>0.0715173</v>
      </c>
      <c r="G77" s="7">
        <v>7.1517</v>
      </c>
      <c r="I77" s="8">
        <f t="shared" si="1"/>
        <v>6.674367273</v>
      </c>
      <c r="J77" s="8">
        <f>E46</f>
        <v>24.46009318</v>
      </c>
      <c r="K77" s="8">
        <f>E46-E45</f>
        <v>3.605051454</v>
      </c>
      <c r="L77" s="8">
        <f t="shared" si="2"/>
        <v>65.26048809</v>
      </c>
    </row>
    <row r="78">
      <c r="A78" s="1" t="s">
        <v>107</v>
      </c>
      <c r="B78" s="1">
        <v>1.70779E12</v>
      </c>
      <c r="C78" s="1">
        <v>7.5E9</v>
      </c>
      <c r="D78" s="1">
        <v>1.02807324045E11</v>
      </c>
      <c r="E78" s="1"/>
      <c r="F78" s="1">
        <v>0.072952</v>
      </c>
      <c r="G78" s="1">
        <v>7.2952</v>
      </c>
      <c r="I78" s="8">
        <f t="shared" si="1"/>
        <v>6.799185798</v>
      </c>
      <c r="J78" s="8">
        <f>E69</f>
        <v>26.452842</v>
      </c>
      <c r="K78" s="8">
        <f>E69-E68</f>
        <v>4.012546</v>
      </c>
      <c r="L78" s="8">
        <f t="shared" si="2"/>
        <v>62.7354262</v>
      </c>
    </row>
  </sheetData>
  <drawing r:id="rId1"/>
</worksheet>
</file>